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小卖铺数据表8.4\"/>
    </mc:Choice>
  </mc:AlternateContent>
  <bookViews>
    <workbookView windowWidth="20490" windowHeight="7845"/>
  </bookViews>
  <sheets>
    <sheet name="炭步项目各费用合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<sst xmlns="http://schemas.openxmlformats.org/spreadsheetml/2006/main" count="129" uniqueCount="85">
  <si>
    <t>供应商品台账</t>
  </si>
  <si>
    <t>平台自购</t>
  </si>
  <si>
    <t>产品名称</t>
  </si>
  <si>
    <t>整件规格</t>
  </si>
  <si>
    <t>总件数</t>
  </si>
  <si>
    <t>整件价格</t>
  </si>
  <si>
    <t>总价格</t>
  </si>
  <si>
    <t>规格</t>
  </si>
  <si>
    <t>价格</t>
  </si>
  <si>
    <t>东方树叶青柑普洱500ml</t>
  </si>
  <si>
    <t>15瓶</t>
  </si>
  <si>
    <t>双汇蒜香烤肠</t>
  </si>
  <si>
    <t>东方树叶茉莉500ml</t>
  </si>
  <si>
    <t>娃哈哈AD钙原味500ml</t>
  </si>
  <si>
    <t>布鲁托牛乳焗肉松面包</t>
  </si>
  <si>
    <t>美汁源果粒奶优草莓味500ml</t>
  </si>
  <si>
    <t>美汁源果粒橙450ml</t>
  </si>
  <si>
    <t>12瓶</t>
  </si>
  <si>
    <t>盼盼爆浆面包</t>
  </si>
  <si>
    <t>脉动青柠味600ml</t>
  </si>
  <si>
    <t>茶派蜜桃乌龙500ml</t>
  </si>
  <si>
    <t>乡巴佬大鸭腿盐焗味</t>
  </si>
  <si>
    <t>茶派柚子绿茶500ml</t>
  </si>
  <si>
    <t>贤哥五香蛋</t>
  </si>
  <si>
    <t>娃哈哈苏打水柠檬味500ml</t>
  </si>
  <si>
    <t>和其正550ml</t>
  </si>
  <si>
    <t>爱乡亲唱片面包</t>
  </si>
  <si>
    <t>统一双萃柠檬茶500ml</t>
  </si>
  <si>
    <t>统一海之言500ml</t>
  </si>
  <si>
    <t>三明治面包</t>
  </si>
  <si>
    <t>健力宝橙味560ml</t>
  </si>
  <si>
    <t>康师傅冰红茶1L</t>
  </si>
  <si>
    <t>名厨蜜汁可乐鸭翅根</t>
  </si>
  <si>
    <t>康师傅绿茶1L</t>
  </si>
  <si>
    <t>名厨香辣味鸭翅根</t>
  </si>
  <si>
    <t>康师傅冰糖雪梨1L</t>
  </si>
  <si>
    <t>谷焙奇沙琪玛</t>
  </si>
  <si>
    <t>红牛250ml</t>
  </si>
  <si>
    <t>24瓶</t>
  </si>
  <si>
    <t>客必乐鸭翅根盐焗.香辣味</t>
  </si>
  <si>
    <t>百事可乐罐装330ml</t>
  </si>
  <si>
    <t>乡巴佬大鸭腿盐焗味.香辣味</t>
  </si>
  <si>
    <t>泰奇八宝粥370ml</t>
  </si>
  <si>
    <t>陈村火鸡面</t>
  </si>
  <si>
    <t>加多宝330ml</t>
  </si>
  <si>
    <t>陈村过桥米线酸辣味</t>
  </si>
  <si>
    <t>椰泰燕麦牛奶360ml</t>
  </si>
  <si>
    <t>汤达人日式豚骨味</t>
  </si>
  <si>
    <t>轻上椰子水360ml</t>
  </si>
  <si>
    <t>吞食兽酸辣粉</t>
  </si>
  <si>
    <t>景田矿泉水560ml</t>
  </si>
  <si>
    <t>漫花抽纸</t>
  </si>
  <si>
    <t>罗伯克醇香拿铁410ml</t>
  </si>
  <si>
    <t>洁柔手帕纸</t>
  </si>
  <si>
    <t>统一阿萨姆原味500ml</t>
  </si>
  <si>
    <t>布鲁托蛋皮能量卷面包</t>
  </si>
  <si>
    <t>东鹏特饮500ml</t>
  </si>
  <si>
    <t>出鲜轻咸肉松派面包</t>
  </si>
  <si>
    <t>乐虎500ml</t>
  </si>
  <si>
    <t>出鲜厚乳双芯面包</t>
  </si>
  <si>
    <t>百事可乐瓶装500ml</t>
  </si>
  <si>
    <t>哈兰德肉松卷面包</t>
  </si>
  <si>
    <t>雪碧瓶装500ml</t>
  </si>
  <si>
    <t>康师傅一倍半酸菜牛肉面</t>
  </si>
  <si>
    <t>可口可乐500ml</t>
  </si>
  <si>
    <t>康师傅一倍半香辣牛肉面</t>
  </si>
  <si>
    <t>康师傅茉莉蜜茶1L</t>
  </si>
  <si>
    <t>康师傅一倍半红烧牛肉面</t>
  </si>
  <si>
    <t>捷虎能量900ml</t>
  </si>
  <si>
    <t>平板小推车</t>
  </si>
  <si>
    <t>伊利纯牛奶250ml</t>
  </si>
  <si>
    <t>16瓶</t>
  </si>
  <si>
    <t>售后服务贴纸</t>
  </si>
  <si>
    <t>伊利优酸乳原味250ml</t>
  </si>
  <si>
    <t>合计</t>
  </si>
  <si>
    <t>美年达罐装橙味330ml</t>
  </si>
  <si>
    <t>美年达罐装葡萄味330ml</t>
  </si>
  <si>
    <t>已品椰子水420ml</t>
  </si>
  <si>
    <t>和成天下50元</t>
  </si>
  <si>
    <t>10袋</t>
  </si>
  <si>
    <t>湘潭铺子枸杞50元</t>
  </si>
  <si>
    <t>20袋</t>
  </si>
  <si>
    <t>品上发枸杞10元槟榔</t>
  </si>
  <si>
    <t>品味人生爆珠槟榔10元</t>
  </si>
  <si>
    <t>咖啡王10元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</si>
</sst>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workbookViewId="0">
      <selection activeCell="F9" sqref="F9"/>
    </sheetView>
  </sheetViews>
  <sheetFormatPr defaultColWidth="9" defaultRowHeight="13.5"/>
  <cols>
    <col min="3" max="3" width="19.75" customWidth="1"/>
    <col min="4" max="7" width="12.625" customWidth="1"/>
    <col min="9" max="9" width="26.25" style="1" customWidth="1"/>
    <col min="10" max="11" width="9" style="1"/>
  </cols>
  <sheetData>
    <row r="1" spans="1:11">
      <c r="A1" s="2"/>
      <c r="B1" s="3" t="s">
        <v>0</v>
      </c>
      <c r="C1" s="3"/>
      <c r="D1" s="3"/>
      <c r="E1" s="3"/>
      <c r="F1" s="3"/>
      <c r="G1" s="3"/>
      <c r="I1" s="3" t="s">
        <v>1</v>
      </c>
      <c r="J1" s="4"/>
      <c r="K1" s="4"/>
    </row>
    <row r="2" spans="1:11">
      <c r="A2" s="2"/>
      <c r="B2" s="3"/>
      <c r="C2" s="3"/>
      <c r="D2" s="3"/>
      <c r="E2" s="3"/>
      <c r="F2" s="3"/>
      <c r="G2" s="3"/>
      <c r="I2" s="4"/>
      <c r="J2" s="4"/>
      <c r="K2" s="4"/>
    </row>
    <row r="3" s="1" customFormat="1" ht="25" customHeight="1" spans="1:11">
      <c r="B3" s="5" t="s">
        <v>2</v>
      </c>
      <c r="C3" s="5"/>
      <c r="D3" s="5" t="s">
        <v>3</v>
      </c>
      <c r="E3" s="5" t="s">
        <v>4</v>
      </c>
      <c r="F3" s="5" t="s">
        <v>5</v>
      </c>
      <c r="G3" s="5" t="s">
        <v>6</v>
      </c>
      <c r="I3" s="5" t="s">
        <v>2</v>
      </c>
      <c r="J3" s="5" t="s">
        <v>7</v>
      </c>
      <c r="K3" s="5" t="s">
        <v>8</v>
      </c>
    </row>
    <row r="4" ht="25" customHeight="1" spans="1:11">
      <c r="B4" s="6" t="s">
        <v>9</v>
      </c>
      <c r="C4" s="6"/>
      <c r="D4" s="6" t="s">
        <v>10</v>
      </c>
      <c r="E4" s="6">
        <v>15</v>
      </c>
      <c r="F4" s="6">
        <v>50</v>
      </c>
      <c r="G4" s="7">
        <f t="shared" ref="G4:G45" si="0">E4*F4</f>
        <v>750</v>
      </c>
      <c r="I4" s="6" t="s">
        <v>11</v>
      </c>
      <c r="J4" s="6">
        <v>20</v>
      </c>
      <c r="K4" s="6">
        <v>45.7</v>
      </c>
    </row>
    <row r="5" ht="25" customHeight="1" spans="1:11">
      <c r="B5" s="6" t="s">
        <v>12</v>
      </c>
      <c r="C5" s="6"/>
      <c r="D5" s="6" t="s">
        <v>10</v>
      </c>
      <c r="E5" s="6">
        <v>15</v>
      </c>
      <c r="F5" s="6">
        <v>50</v>
      </c>
      <c r="G5" s="7">
        <f t="shared" si="0"/>
        <v>750</v>
      </c>
      <c r="I5" s="6" t="s">
        <v>11</v>
      </c>
      <c r="J5" s="6">
        <v>20</v>
      </c>
      <c r="K5" s="6">
        <v>44.55</v>
      </c>
    </row>
    <row r="6" ht="25" customHeight="1" spans="1:11">
      <c r="B6" s="6" t="s">
        <v>13</v>
      </c>
      <c r="C6" s="6"/>
      <c r="D6" s="6" t="s">
        <v>10</v>
      </c>
      <c r="E6" s="6">
        <v>10</v>
      </c>
      <c r="F6" s="6">
        <v>44</v>
      </c>
      <c r="G6" s="7">
        <f t="shared" si="0"/>
        <v>440</v>
      </c>
      <c r="I6" s="6" t="s">
        <v>14</v>
      </c>
      <c r="J6" s="6">
        <v>17</v>
      </c>
      <c r="K6" s="6">
        <v>45.8</v>
      </c>
    </row>
    <row r="7" ht="25" customHeight="1" spans="1:11">
      <c r="B7" s="6" t="s">
        <v>15</v>
      </c>
      <c r="C7" s="6"/>
      <c r="D7" s="6" t="s">
        <v>10</v>
      </c>
      <c r="E7" s="6">
        <v>10</v>
      </c>
      <c r="F7" s="6">
        <v>51</v>
      </c>
      <c r="G7" s="7">
        <f t="shared" si="0"/>
        <v>510</v>
      </c>
      <c r="I7" s="6" t="s">
        <v>14</v>
      </c>
      <c r="J7" s="6">
        <v>17</v>
      </c>
      <c r="K7" s="6">
        <v>42.8</v>
      </c>
    </row>
    <row r="8" ht="22" customHeight="1" spans="1:11">
      <c r="B8" s="6" t="s">
        <v>16</v>
      </c>
      <c r="C8" s="6"/>
      <c r="D8" s="6" t="s">
        <v>17</v>
      </c>
      <c r="E8" s="6">
        <v>10</v>
      </c>
      <c r="F8" s="6">
        <v>31</v>
      </c>
      <c r="G8" s="7">
        <f t="shared" si="0"/>
        <v>310</v>
      </c>
      <c r="I8" s="6" t="s">
        <v>18</v>
      </c>
      <c r="J8" s="6">
        <v>24</v>
      </c>
      <c r="K8" s="6">
        <v>59.01</v>
      </c>
    </row>
    <row r="9" ht="22" customHeight="1" spans="1:11">
      <c r="B9" s="6" t="s">
        <v>19</v>
      </c>
      <c r="C9" s="6"/>
      <c r="D9" s="6" t="s">
        <v>10</v>
      </c>
      <c r="E9" s="6">
        <v>15</v>
      </c>
      <c r="F9" s="6">
        <v>46</v>
      </c>
      <c r="G9" s="7">
        <f t="shared" si="0"/>
        <v>690</v>
      </c>
      <c r="I9" s="6" t="s">
        <v>18</v>
      </c>
      <c r="J9" s="6">
        <v>24</v>
      </c>
      <c r="K9" s="6">
        <v>58.6</v>
      </c>
    </row>
    <row r="10" ht="22" customHeight="1" spans="1:11">
      <c r="B10" s="6" t="s">
        <v>20</v>
      </c>
      <c r="C10" s="6"/>
      <c r="D10" s="6" t="s">
        <v>10</v>
      </c>
      <c r="E10" s="6">
        <v>5</v>
      </c>
      <c r="F10" s="6">
        <v>50</v>
      </c>
      <c r="G10" s="7">
        <f t="shared" si="0"/>
        <v>250</v>
      </c>
      <c r="I10" s="6" t="s">
        <v>21</v>
      </c>
      <c r="J10" s="6">
        <v>12</v>
      </c>
      <c r="K10" s="6">
        <v>32.8</v>
      </c>
    </row>
    <row r="11" ht="22" customHeight="1" spans="1:11">
      <c r="B11" s="6" t="s">
        <v>22</v>
      </c>
      <c r="C11" s="6"/>
      <c r="D11" s="6" t="s">
        <v>10</v>
      </c>
      <c r="E11" s="6">
        <v>5</v>
      </c>
      <c r="F11" s="6">
        <v>50</v>
      </c>
      <c r="G11" s="7">
        <f t="shared" si="0"/>
        <v>250</v>
      </c>
      <c r="I11" s="6" t="s">
        <v>23</v>
      </c>
      <c r="J11" s="6">
        <v>30</v>
      </c>
      <c r="K11" s="6">
        <v>52.8</v>
      </c>
    </row>
    <row r="12" ht="22" customHeight="1" spans="1:11">
      <c r="B12" s="6" t="s">
        <v>24</v>
      </c>
      <c r="C12" s="6"/>
      <c r="D12" s="6" t="s">
        <v>10</v>
      </c>
      <c r="E12" s="6">
        <v>6</v>
      </c>
      <c r="F12" s="6">
        <v>43</v>
      </c>
      <c r="G12" s="7">
        <f t="shared" si="0"/>
        <v>258</v>
      </c>
      <c r="I12" s="6" t="s">
        <v>23</v>
      </c>
      <c r="J12" s="6">
        <v>30</v>
      </c>
      <c r="K12" s="6">
        <v>52.8</v>
      </c>
    </row>
    <row r="13" ht="22" customHeight="1" spans="1:11">
      <c r="B13" s="6" t="s">
        <v>25</v>
      </c>
      <c r="C13" s="6"/>
      <c r="D13" s="6" t="s">
        <v>10</v>
      </c>
      <c r="E13" s="6">
        <v>10</v>
      </c>
      <c r="F13" s="6">
        <v>42</v>
      </c>
      <c r="G13" s="7">
        <f t="shared" si="0"/>
        <v>420</v>
      </c>
      <c r="I13" s="6" t="s">
        <v>26</v>
      </c>
      <c r="J13" s="6">
        <v>24</v>
      </c>
      <c r="K13" s="6">
        <v>39.9</v>
      </c>
    </row>
    <row r="14" ht="22" customHeight="1" spans="1:11">
      <c r="B14" s="6" t="s">
        <v>27</v>
      </c>
      <c r="C14" s="6"/>
      <c r="D14" s="6" t="s">
        <v>10</v>
      </c>
      <c r="E14" s="6">
        <v>10</v>
      </c>
      <c r="F14" s="6">
        <v>32</v>
      </c>
      <c r="G14" s="7">
        <f t="shared" si="0"/>
        <v>320</v>
      </c>
      <c r="I14" s="6" t="s">
        <v>26</v>
      </c>
      <c r="J14" s="6">
        <v>24</v>
      </c>
      <c r="K14" s="6">
        <v>39.9</v>
      </c>
    </row>
    <row r="15" ht="22" customHeight="1" spans="1:11">
      <c r="B15" s="6" t="s">
        <v>28</v>
      </c>
      <c r="C15" s="6"/>
      <c r="D15" s="6" t="s">
        <v>10</v>
      </c>
      <c r="E15" s="6">
        <v>10</v>
      </c>
      <c r="F15" s="6">
        <v>44</v>
      </c>
      <c r="G15" s="7">
        <f t="shared" si="0"/>
        <v>440</v>
      </c>
      <c r="I15" s="6" t="s">
        <v>29</v>
      </c>
      <c r="J15" s="6">
        <v>28</v>
      </c>
      <c r="K15" s="6">
        <v>37.8</v>
      </c>
    </row>
    <row r="16" ht="22" customHeight="1" spans="1:11">
      <c r="B16" s="6" t="s">
        <v>30</v>
      </c>
      <c r="C16" s="6"/>
      <c r="D16" s="6" t="s">
        <v>10</v>
      </c>
      <c r="E16" s="6">
        <v>10</v>
      </c>
      <c r="F16" s="6">
        <v>37</v>
      </c>
      <c r="G16" s="7">
        <f t="shared" si="0"/>
        <v>370</v>
      </c>
      <c r="I16" s="6" t="s">
        <v>29</v>
      </c>
      <c r="J16" s="6">
        <v>28</v>
      </c>
      <c r="K16" s="6">
        <v>37.8</v>
      </c>
    </row>
    <row r="17" ht="22" customHeight="1" spans="2:11">
      <c r="B17" s="6" t="s">
        <v>31</v>
      </c>
      <c r="C17" s="6"/>
      <c r="D17" s="6" t="s">
        <v>17</v>
      </c>
      <c r="E17" s="6">
        <v>20</v>
      </c>
      <c r="F17" s="6">
        <v>38</v>
      </c>
      <c r="G17" s="7">
        <f t="shared" si="0"/>
        <v>760</v>
      </c>
      <c r="I17" s="6" t="s">
        <v>32</v>
      </c>
      <c r="J17" s="6">
        <v>20</v>
      </c>
      <c r="K17" s="6">
        <v>22.5</v>
      </c>
    </row>
    <row r="18" ht="22" customHeight="1" spans="2:11">
      <c r="B18" s="6" t="s">
        <v>33</v>
      </c>
      <c r="C18" s="6"/>
      <c r="D18" s="6" t="s">
        <v>17</v>
      </c>
      <c r="E18" s="6">
        <v>10</v>
      </c>
      <c r="F18" s="6">
        <v>38</v>
      </c>
      <c r="G18" s="7">
        <f t="shared" si="0"/>
        <v>380</v>
      </c>
      <c r="I18" s="6" t="s">
        <v>34</v>
      </c>
      <c r="J18" s="6">
        <v>20</v>
      </c>
      <c r="K18" s="6">
        <v>22.5</v>
      </c>
    </row>
    <row r="19" ht="22" customHeight="1" spans="2:11">
      <c r="B19" s="6" t="s">
        <v>35</v>
      </c>
      <c r="C19" s="6"/>
      <c r="D19" s="6" t="s">
        <v>17</v>
      </c>
      <c r="E19" s="6">
        <v>5</v>
      </c>
      <c r="F19" s="6">
        <v>38</v>
      </c>
      <c r="G19" s="7">
        <f t="shared" si="0"/>
        <v>190</v>
      </c>
      <c r="I19" s="6" t="s">
        <v>36</v>
      </c>
      <c r="J19" s="6">
        <v>60</v>
      </c>
      <c r="K19" s="6">
        <v>39.9</v>
      </c>
    </row>
    <row r="20" ht="22" customHeight="1" spans="2:11">
      <c r="B20" s="6" t="s">
        <v>37</v>
      </c>
      <c r="C20" s="6"/>
      <c r="D20" s="6" t="s">
        <v>38</v>
      </c>
      <c r="E20" s="6">
        <v>14</v>
      </c>
      <c r="F20" s="6">
        <v>106</v>
      </c>
      <c r="G20" s="7">
        <f t="shared" si="0"/>
        <v>1484</v>
      </c>
      <c r="I20" s="6" t="s">
        <v>39</v>
      </c>
      <c r="J20" s="6">
        <v>50</v>
      </c>
      <c r="K20" s="6">
        <v>33.86</v>
      </c>
    </row>
    <row r="21" ht="22" customHeight="1" spans="2:11">
      <c r="B21" s="6" t="s">
        <v>40</v>
      </c>
      <c r="C21" s="6"/>
      <c r="D21" s="6" t="s">
        <v>38</v>
      </c>
      <c r="E21" s="6">
        <v>5</v>
      </c>
      <c r="F21" s="6">
        <v>41</v>
      </c>
      <c r="G21" s="7">
        <f t="shared" si="0"/>
        <v>205</v>
      </c>
      <c r="I21" s="6" t="s">
        <v>41</v>
      </c>
      <c r="J21" s="6">
        <v>20</v>
      </c>
      <c r="K21" s="6">
        <v>53.8</v>
      </c>
    </row>
    <row r="22" ht="22" customHeight="1" spans="2:11">
      <c r="B22" s="6" t="s">
        <v>42</v>
      </c>
      <c r="C22" s="6"/>
      <c r="D22" s="6" t="s">
        <v>38</v>
      </c>
      <c r="E22" s="6">
        <v>5</v>
      </c>
      <c r="F22" s="6">
        <v>88</v>
      </c>
      <c r="G22" s="7">
        <f t="shared" si="0"/>
        <v>440</v>
      </c>
      <c r="I22" s="6" t="s">
        <v>43</v>
      </c>
      <c r="J22" s="6">
        <v>24</v>
      </c>
      <c r="K22" s="6">
        <v>83.22</v>
      </c>
    </row>
    <row r="23" ht="22" customHeight="1" spans="2:11">
      <c r="B23" s="6" t="s">
        <v>44</v>
      </c>
      <c r="C23" s="6"/>
      <c r="D23" s="6" t="s">
        <v>38</v>
      </c>
      <c r="E23" s="6">
        <v>5</v>
      </c>
      <c r="F23" s="6">
        <v>51</v>
      </c>
      <c r="G23" s="7">
        <f t="shared" si="0"/>
        <v>255</v>
      </c>
      <c r="I23" s="6" t="s">
        <v>45</v>
      </c>
      <c r="J23" s="6">
        <v>24</v>
      </c>
      <c r="K23" s="6">
        <v>85.2</v>
      </c>
    </row>
    <row r="24" ht="22" customHeight="1" spans="2:11">
      <c r="B24" s="6" t="s">
        <v>46</v>
      </c>
      <c r="C24" s="6"/>
      <c r="D24" s="6" t="s">
        <v>38</v>
      </c>
      <c r="E24" s="6">
        <v>6</v>
      </c>
      <c r="F24" s="6">
        <v>91</v>
      </c>
      <c r="G24" s="7">
        <f t="shared" si="0"/>
        <v>546</v>
      </c>
      <c r="I24" s="6" t="s">
        <v>47</v>
      </c>
      <c r="J24" s="6">
        <v>12</v>
      </c>
      <c r="K24" s="6">
        <v>44.5</v>
      </c>
    </row>
    <row r="25" ht="22" customHeight="1" spans="2:11">
      <c r="B25" s="6" t="s">
        <v>48</v>
      </c>
      <c r="C25" s="6"/>
      <c r="D25" s="6" t="s">
        <v>38</v>
      </c>
      <c r="E25" s="6">
        <v>6</v>
      </c>
      <c r="F25" s="6">
        <v>107</v>
      </c>
      <c r="G25" s="7">
        <f t="shared" si="0"/>
        <v>642</v>
      </c>
      <c r="I25" s="6" t="s">
        <v>49</v>
      </c>
      <c r="J25" s="6">
        <v>24</v>
      </c>
      <c r="K25" s="6">
        <v>69.06</v>
      </c>
    </row>
    <row r="26" ht="22" customHeight="1" spans="2:11">
      <c r="B26" s="6" t="s">
        <v>50</v>
      </c>
      <c r="C26" s="6"/>
      <c r="D26" s="6" t="s">
        <v>38</v>
      </c>
      <c r="E26" s="6">
        <v>12.5</v>
      </c>
      <c r="F26" s="6">
        <v>11</v>
      </c>
      <c r="G26" s="7">
        <f t="shared" si="0"/>
        <v>137.5</v>
      </c>
      <c r="I26" s="6" t="s">
        <v>51</v>
      </c>
      <c r="J26" s="6">
        <v>60</v>
      </c>
      <c r="K26" s="6">
        <v>63.99</v>
      </c>
    </row>
    <row r="27" ht="22" customHeight="1" spans="2:11">
      <c r="B27" s="6" t="s">
        <v>52</v>
      </c>
      <c r="C27" s="6"/>
      <c r="D27" s="6" t="s">
        <v>38</v>
      </c>
      <c r="E27" s="6">
        <v>7</v>
      </c>
      <c r="F27" s="6">
        <v>99</v>
      </c>
      <c r="G27" s="7">
        <f t="shared" si="0"/>
        <v>693</v>
      </c>
      <c r="I27" s="6" t="s">
        <v>53</v>
      </c>
      <c r="J27" s="6">
        <v>300</v>
      </c>
      <c r="K27" s="6">
        <v>119</v>
      </c>
    </row>
    <row r="28" ht="22" customHeight="1" spans="2:11">
      <c r="B28" s="6" t="s">
        <v>54</v>
      </c>
      <c r="C28" s="6"/>
      <c r="D28" s="6" t="s">
        <v>10</v>
      </c>
      <c r="E28" s="6">
        <v>10</v>
      </c>
      <c r="F28" s="6">
        <v>44</v>
      </c>
      <c r="G28" s="7">
        <f t="shared" si="0"/>
        <v>440</v>
      </c>
      <c r="I28" s="6" t="s">
        <v>55</v>
      </c>
      <c r="J28" s="6">
        <v>24</v>
      </c>
      <c r="K28" s="6">
        <v>47.8</v>
      </c>
    </row>
    <row r="29" ht="22" customHeight="1" spans="2:11">
      <c r="B29" s="6" t="s">
        <v>56</v>
      </c>
      <c r="C29" s="6"/>
      <c r="D29" s="6" t="s">
        <v>38</v>
      </c>
      <c r="E29" s="6">
        <v>15</v>
      </c>
      <c r="F29" s="6">
        <v>82</v>
      </c>
      <c r="G29" s="7">
        <f t="shared" si="0"/>
        <v>1230</v>
      </c>
      <c r="I29" s="6" t="s">
        <v>57</v>
      </c>
      <c r="J29" s="6">
        <v>30</v>
      </c>
      <c r="K29" s="6">
        <v>68.98</v>
      </c>
    </row>
    <row r="30" ht="22" customHeight="1" spans="2:11">
      <c r="B30" s="6" t="s">
        <v>58</v>
      </c>
      <c r="C30" s="6"/>
      <c r="D30" s="6" t="s">
        <v>38</v>
      </c>
      <c r="E30" s="6">
        <v>10</v>
      </c>
      <c r="F30" s="6">
        <v>79</v>
      </c>
      <c r="G30" s="7">
        <f t="shared" si="0"/>
        <v>790</v>
      </c>
      <c r="I30" s="6" t="s">
        <v>59</v>
      </c>
      <c r="J30" s="6">
        <v>30</v>
      </c>
      <c r="K30" s="6">
        <v>69</v>
      </c>
    </row>
    <row r="31" ht="22" customHeight="1" spans="2:11">
      <c r="B31" s="6" t="s">
        <v>60</v>
      </c>
      <c r="C31" s="6"/>
      <c r="D31" s="6" t="s">
        <v>38</v>
      </c>
      <c r="E31" s="6">
        <v>10</v>
      </c>
      <c r="F31" s="6">
        <v>49</v>
      </c>
      <c r="G31" s="7">
        <f t="shared" si="0"/>
        <v>490</v>
      </c>
      <c r="I31" s="6" t="s">
        <v>61</v>
      </c>
      <c r="J31" s="6">
        <v>24</v>
      </c>
      <c r="K31" s="6">
        <v>70.8</v>
      </c>
    </row>
    <row r="32" ht="22" customHeight="1" spans="2:11">
      <c r="B32" s="6" t="s">
        <v>62</v>
      </c>
      <c r="C32" s="6"/>
      <c r="D32" s="6" t="s">
        <v>38</v>
      </c>
      <c r="E32" s="6">
        <v>10</v>
      </c>
      <c r="F32" s="6">
        <v>49</v>
      </c>
      <c r="G32" s="7">
        <f t="shared" si="0"/>
        <v>490</v>
      </c>
      <c r="I32" s="6" t="s">
        <v>63</v>
      </c>
      <c r="J32" s="6">
        <v>24</v>
      </c>
      <c r="K32" s="6">
        <v>78.8</v>
      </c>
    </row>
    <row r="33" ht="22" customHeight="1" spans="2:11">
      <c r="B33" s="6" t="s">
        <v>64</v>
      </c>
      <c r="C33" s="6"/>
      <c r="D33" s="6" t="s">
        <v>38</v>
      </c>
      <c r="E33" s="6">
        <v>10</v>
      </c>
      <c r="F33" s="6">
        <v>49</v>
      </c>
      <c r="G33" s="7">
        <f t="shared" si="0"/>
        <v>490</v>
      </c>
      <c r="I33" s="6" t="s">
        <v>65</v>
      </c>
      <c r="J33" s="6">
        <v>24</v>
      </c>
      <c r="K33" s="6">
        <v>77.8</v>
      </c>
    </row>
    <row r="34" ht="22" customHeight="1" spans="2:11">
      <c r="B34" s="6" t="s">
        <v>66</v>
      </c>
      <c r="C34" s="6"/>
      <c r="D34" s="6" t="s">
        <v>17</v>
      </c>
      <c r="E34" s="6">
        <v>10</v>
      </c>
      <c r="F34" s="6">
        <v>38</v>
      </c>
      <c r="G34" s="7">
        <f t="shared" si="0"/>
        <v>380</v>
      </c>
      <c r="I34" s="6" t="s">
        <v>67</v>
      </c>
      <c r="J34" s="6">
        <v>24</v>
      </c>
      <c r="K34" s="6">
        <v>79.8</v>
      </c>
    </row>
    <row r="35" ht="22" customHeight="1" spans="2:11">
      <c r="B35" s="6" t="s">
        <v>68</v>
      </c>
      <c r="C35" s="6"/>
      <c r="D35" s="6" t="s">
        <v>10</v>
      </c>
      <c r="E35" s="6">
        <v>8</v>
      </c>
      <c r="F35" s="6">
        <v>61</v>
      </c>
      <c r="G35" s="7">
        <f t="shared" si="0"/>
        <v>488</v>
      </c>
      <c r="I35" s="6" t="s">
        <v>69</v>
      </c>
      <c r="J35" s="6">
        <v>1</v>
      </c>
      <c r="K35" s="6">
        <v>167</v>
      </c>
    </row>
    <row r="36" ht="22" customHeight="1" spans="2:11">
      <c r="B36" s="6" t="s">
        <v>70</v>
      </c>
      <c r="C36" s="6"/>
      <c r="D36" s="6" t="s">
        <v>71</v>
      </c>
      <c r="E36" s="6">
        <v>5</v>
      </c>
      <c r="F36" s="6">
        <v>39</v>
      </c>
      <c r="G36" s="7">
        <f t="shared" si="0"/>
        <v>195</v>
      </c>
      <c r="I36" s="6" t="s">
        <v>72</v>
      </c>
      <c r="J36" s="6">
        <v>10</v>
      </c>
      <c r="K36" s="6">
        <v>60</v>
      </c>
    </row>
    <row r="37" ht="22" customHeight="1" spans="2:11">
      <c r="B37" s="6" t="s">
        <v>73</v>
      </c>
      <c r="C37" s="6"/>
      <c r="D37" s="6" t="s">
        <v>38</v>
      </c>
      <c r="E37" s="6">
        <v>5</v>
      </c>
      <c r="F37" s="6">
        <v>33</v>
      </c>
      <c r="G37" s="7">
        <f t="shared" si="0"/>
        <v>165</v>
      </c>
      <c r="I37" s="6" t="s">
        <v>74</v>
      </c>
      <c r="J37" s="6">
        <f>SUM(J4:J36)</f>
        <v>1103</v>
      </c>
      <c r="K37" s="6">
        <f>SUM(K4:K36)</f>
        <v>1947.77</v>
      </c>
    </row>
    <row r="38" ht="22" customHeight="1" spans="2:11">
      <c r="B38" s="6" t="s">
        <v>75</v>
      </c>
      <c r="C38" s="6"/>
      <c r="D38" s="6" t="s">
        <v>38</v>
      </c>
      <c r="E38" s="6">
        <v>6</v>
      </c>
      <c r="F38" s="6">
        <v>41</v>
      </c>
      <c r="G38" s="7">
        <f t="shared" si="0"/>
        <v>246</v>
      </c>
      <c r="I38" s="6"/>
      <c r="J38" s="6"/>
      <c r="K38" s="6"/>
    </row>
    <row r="39" ht="22" customHeight="1" spans="2:11">
      <c r="B39" s="6" t="s">
        <v>76</v>
      </c>
      <c r="C39" s="6"/>
      <c r="D39" s="6" t="s">
        <v>38</v>
      </c>
      <c r="E39" s="6">
        <v>3</v>
      </c>
      <c r="F39" s="6">
        <v>41</v>
      </c>
      <c r="G39" s="7">
        <f t="shared" si="0"/>
        <v>123</v>
      </c>
    </row>
    <row r="40" ht="22" customHeight="1" spans="2:11">
      <c r="B40" s="6" t="s">
        <v>77</v>
      </c>
      <c r="C40" s="6"/>
      <c r="D40" s="6" t="s">
        <v>10</v>
      </c>
      <c r="E40" s="6">
        <v>6</v>
      </c>
      <c r="F40" s="6">
        <v>49</v>
      </c>
      <c r="G40" s="7">
        <f t="shared" si="0"/>
        <v>294</v>
      </c>
    </row>
    <row r="41" ht="22" customHeight="1" spans="2:11">
      <c r="B41" s="6" t="s">
        <v>78</v>
      </c>
      <c r="C41" s="6"/>
      <c r="D41" s="6" t="s">
        <v>79</v>
      </c>
      <c r="E41" s="6">
        <v>4</v>
      </c>
      <c r="F41" s="6">
        <v>450</v>
      </c>
      <c r="G41" s="7">
        <f t="shared" si="0"/>
        <v>1800</v>
      </c>
    </row>
    <row r="42" ht="22" customHeight="1" spans="2:11">
      <c r="B42" s="6" t="s">
        <v>80</v>
      </c>
      <c r="C42" s="6"/>
      <c r="D42" s="6" t="s">
        <v>81</v>
      </c>
      <c r="E42" s="6">
        <v>1</v>
      </c>
      <c r="F42" s="6">
        <v>900</v>
      </c>
      <c r="G42" s="7">
        <f t="shared" si="0"/>
        <v>900</v>
      </c>
    </row>
    <row r="43" ht="22" customHeight="1" spans="2:11">
      <c r="B43" s="6" t="s">
        <v>82</v>
      </c>
      <c r="C43" s="6"/>
      <c r="D43" s="6" t="s">
        <v>79</v>
      </c>
      <c r="E43" s="6">
        <v>3</v>
      </c>
      <c r="F43" s="6">
        <v>70</v>
      </c>
      <c r="G43" s="7">
        <f t="shared" si="0"/>
        <v>210</v>
      </c>
    </row>
    <row r="44" ht="22" customHeight="1" spans="2:11">
      <c r="B44" s="6" t="s">
        <v>83</v>
      </c>
      <c r="C44" s="6"/>
      <c r="D44" s="6" t="s">
        <v>81</v>
      </c>
      <c r="E44" s="6">
        <v>2</v>
      </c>
      <c r="F44" s="6">
        <v>140</v>
      </c>
      <c r="G44" s="7">
        <f t="shared" si="0"/>
        <v>280</v>
      </c>
    </row>
    <row r="45" ht="22" customHeight="1" spans="2:11">
      <c r="B45" s="6" t="s">
        <v>84</v>
      </c>
      <c r="C45" s="6"/>
      <c r="D45" s="6" t="s">
        <v>79</v>
      </c>
      <c r="E45" s="6">
        <v>2</v>
      </c>
      <c r="F45" s="6">
        <v>70</v>
      </c>
      <c r="G45" s="7">
        <f t="shared" si="0"/>
        <v>140</v>
      </c>
    </row>
    <row r="46" ht="22" customHeight="1" spans="2:11">
      <c r="B46" s="8" t="s">
        <v>74</v>
      </c>
      <c r="C46" s="8"/>
      <c r="D46" s="8"/>
      <c r="E46" s="8">
        <f>SUM(G4:G45)</f>
        <v>20641.5</v>
      </c>
      <c r="F46" s="8"/>
      <c r="G46" s="8"/>
    </row>
    <row r="47" ht="22" customHeight="1" spans="2:11">
      <c r="B47" s="8"/>
      <c r="C47" s="8"/>
      <c r="D47" s="8"/>
      <c r="E47" s="8"/>
      <c r="F47" s="8"/>
      <c r="G47" s="8"/>
    </row>
    <row r="48" ht="22" customHeight="1"/>
  </sheetData>
  <mergeCells count="50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I37:I38"/>
    <mergeCell ref="J37:J38"/>
    <mergeCell ref="K37:K38"/>
    <mergeCell ref="B1:G2"/>
    <mergeCell ref="B46:D47"/>
    <mergeCell ref="E46:G47"/>
    <mergeCell ref="I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炭步项目各费用合计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思梦成真</cp:lastModifiedBy>
  <dcterms:created xsi:type="dcterms:W3CDTF">2026-07-08T07:32:00Z</dcterms:created>
  <dcterms:modified xsi:type="dcterms:W3CDTF">2026-08-04T12:50:29Z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483487869A6141BC8518AB1942B156E7_13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